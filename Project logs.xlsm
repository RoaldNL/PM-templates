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ald/Documents/Project management templates/"/>
    </mc:Choice>
  </mc:AlternateContent>
  <xr:revisionPtr revIDLastSave="0" documentId="13_ncr:1_{E96E574A-ECBE-5D4E-ADD0-710751C23F28}" xr6:coauthVersionLast="47" xr6:coauthVersionMax="47" xr10:uidLastSave="{00000000-0000-0000-0000-000000000000}"/>
  <bookViews>
    <workbookView xWindow="3580" yWindow="2780" windowWidth="38580" windowHeight="18540" xr2:uid="{A39A9AB6-B63F-384F-9F07-1C00BBE38624}"/>
  </bookViews>
  <sheets>
    <sheet name="Overview" sheetId="4" r:id="rId1"/>
    <sheet name="Action log" sheetId="2" r:id="rId2"/>
    <sheet name="Decision log" sheetId="5" r:id="rId3"/>
    <sheet name="Risk register" sheetId="6" r:id="rId4"/>
    <sheet name="Stakeholder register" sheetId="7" r:id="rId5"/>
    <sheet name="Project settings" sheetId="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4" l="1"/>
  <c r="A1" i="7"/>
  <c r="B9" i="4"/>
  <c r="F13" i="6"/>
  <c r="F12" i="6"/>
  <c r="B12" i="4" s="1"/>
  <c r="F11" i="6"/>
  <c r="A1" i="6"/>
  <c r="A1" i="5"/>
  <c r="B6" i="4"/>
  <c r="B5" i="4"/>
  <c r="B4" i="4"/>
  <c r="A1" i="4"/>
  <c r="A1" i="2"/>
  <c r="B10" i="4" l="1"/>
  <c r="B11" i="4"/>
</calcChain>
</file>

<file path=xl/sharedStrings.xml><?xml version="1.0" encoding="utf-8"?>
<sst xmlns="http://schemas.openxmlformats.org/spreadsheetml/2006/main" count="132" uniqueCount="82">
  <si>
    <t>Project</t>
  </si>
  <si>
    <t>Name of the project</t>
  </si>
  <si>
    <t>Start date</t>
  </si>
  <si>
    <t>Topic</t>
  </si>
  <si>
    <t>Action</t>
  </si>
  <si>
    <t>Date added</t>
  </si>
  <si>
    <t>Initiated by</t>
  </si>
  <si>
    <t>Status</t>
  </si>
  <si>
    <t>Assigned to</t>
  </si>
  <si>
    <t>Deadline</t>
  </si>
  <si>
    <t>Priority</t>
  </si>
  <si>
    <t>Dependencies</t>
  </si>
  <si>
    <t>References</t>
  </si>
  <si>
    <t>Comments</t>
  </si>
  <si>
    <t>Low</t>
  </si>
  <si>
    <t>Open</t>
  </si>
  <si>
    <t>Topic 1</t>
  </si>
  <si>
    <t>A1</t>
  </si>
  <si>
    <t>Action 1</t>
  </si>
  <si>
    <t>Firstname Lastname</t>
  </si>
  <si>
    <t>A2</t>
  </si>
  <si>
    <t>Action 2</t>
  </si>
  <si>
    <t>Ref</t>
  </si>
  <si>
    <t>Project settings</t>
  </si>
  <si>
    <t>Actions</t>
  </si>
  <si>
    <t>Behind deadline</t>
  </si>
  <si>
    <t>Ongoing</t>
  </si>
  <si>
    <t>• Always use the button to add an new action
• Actions that are behind deadline are marked in red</t>
  </si>
  <si>
    <t>Decision</t>
  </si>
  <si>
    <t>Taken by</t>
  </si>
  <si>
    <t>Taken on</t>
  </si>
  <si>
    <t>D1</t>
  </si>
  <si>
    <t>D2</t>
  </si>
  <si>
    <t>Decision 1</t>
  </si>
  <si>
    <t>Decision 2</t>
  </si>
  <si>
    <t>Risk</t>
  </si>
  <si>
    <t>Identified on</t>
  </si>
  <si>
    <t>Probability</t>
  </si>
  <si>
    <t>Impact</t>
  </si>
  <si>
    <t>Owner</t>
  </si>
  <si>
    <t>Mitigation</t>
  </si>
  <si>
    <t>R1</t>
  </si>
  <si>
    <t>R2</t>
  </si>
  <si>
    <t>Risk 1</t>
  </si>
  <si>
    <t>Risk 2</t>
  </si>
  <si>
    <t>High</t>
  </si>
  <si>
    <t>Medium</t>
  </si>
  <si>
    <t xml:space="preserve">• Always use the button to add an new risk
</t>
  </si>
  <si>
    <t xml:space="preserve">• Always use the button to add an new decision
</t>
  </si>
  <si>
    <t>Risk description</t>
  </si>
  <si>
    <t>R3</t>
  </si>
  <si>
    <t>Risk 3</t>
  </si>
  <si>
    <t>Risks</t>
  </si>
  <si>
    <t>First name</t>
  </si>
  <si>
    <t>Last name</t>
  </si>
  <si>
    <t>Department</t>
  </si>
  <si>
    <t>Job title</t>
  </si>
  <si>
    <t>Project role</t>
  </si>
  <si>
    <t>Phone</t>
  </si>
  <si>
    <t>Email</t>
  </si>
  <si>
    <t>Influence</t>
  </si>
  <si>
    <t>Interest</t>
  </si>
  <si>
    <t>Notes and comments</t>
  </si>
  <si>
    <t>S1</t>
  </si>
  <si>
    <t>S2</t>
  </si>
  <si>
    <t>Firstname 1</t>
  </si>
  <si>
    <t>Firstname 2</t>
  </si>
  <si>
    <t>Lastname</t>
  </si>
  <si>
    <t>Project sponsor</t>
  </si>
  <si>
    <t>Project manager</t>
  </si>
  <si>
    <t>00-0000-0000</t>
  </si>
  <si>
    <t>name@company.com</t>
  </si>
  <si>
    <t>name2@company.com</t>
  </si>
  <si>
    <t xml:space="preserve">• Always use the button to add an new stakeholder
</t>
  </si>
  <si>
    <t>Number of identified stakeholders</t>
  </si>
  <si>
    <t>Stakeholders</t>
  </si>
  <si>
    <t>Action log</t>
  </si>
  <si>
    <t>Decision log</t>
  </si>
  <si>
    <t>Risk register</t>
  </si>
  <si>
    <t>Stakeholder register</t>
  </si>
  <si>
    <t>Contents</t>
  </si>
  <si>
    <t>&lt;&lt;&lt; BACK TO OVERVIEW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</si>
</sst>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;@"/>
  </numFmts>
  <fonts count="6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0"/>
      <name val="Calibri"/>
      <family val="2"/>
      <scheme val="minor"/>
    </font>
    <font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164" fontId="0" fillId="3" borderId="0" xfId="0" applyNumberFormat="1" applyFill="1" applyAlignment="1">
      <alignment horizontal="left"/>
    </xf>
    <xf numFmtId="49" fontId="0" fillId="0" borderId="0" xfId="0" applyNumberFormat="1"/>
    <xf numFmtId="164" fontId="0" fillId="0" borderId="0" xfId="0" applyNumberFormat="1"/>
    <xf numFmtId="49" fontId="0" fillId="0" borderId="0" xfId="0" applyNumberFormat="1" applyAlignment="1">
      <alignment wrapText="1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left" indent="2"/>
    </xf>
    <xf numFmtId="0" fontId="1" fillId="4" borderId="0" xfId="0" applyFont="1" applyFill="1" applyAlignment="1">
      <alignment horizontal="center"/>
    </xf>
    <xf numFmtId="0" fontId="0" fillId="7" borderId="0" xfId="0" applyFill="1" applyAlignment="1">
      <alignment vertical="top" wrapText="1"/>
    </xf>
    <xf numFmtId="49" fontId="3" fillId="0" borderId="0" xfId="1" applyNumberFormat="1"/>
    <xf numFmtId="0" fontId="3" fillId="0" borderId="0" xfId="1"/>
    <xf numFmtId="0" fontId="3" fillId="6" borderId="0" xfId="1" applyFill="1" applyAlignment="1">
      <alignment horizontal="center"/>
    </xf>
    <xf numFmtId="0" fontId="4" fillId="2" borderId="0" xfId="1" applyFont="1" applyFill="1"/>
    <xf numFmtId="0" fontId="5" fillId="6" borderId="0" xfId="1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2">
    <cellStyle name="Hyperlink" xfId="1" builtinId="8"/>
    <cellStyle name="Standaard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yyyy/mm/dd;@"/>
    </dxf>
    <dxf>
      <numFmt numFmtId="30" formatCode="@"/>
    </dxf>
    <dxf>
      <numFmt numFmtId="30" formatCode="@"/>
    </dxf>
    <dxf>
      <numFmt numFmtId="164" formatCode="yyyy/mm/dd;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numFmt numFmtId="164" formatCode="yyyy/mm/dd;@"/>
    </dxf>
    <dxf>
      <numFmt numFmtId="30" formatCode="@"/>
    </dxf>
    <dxf>
      <numFmt numFmtId="30" formatCode="@"/>
    </dxf>
    <dxf>
      <numFmt numFmtId="164" formatCode="yyyy/mm/dd;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1</xdr:col>
          <xdr:colOff>2298700</xdr:colOff>
          <xdr:row>3</xdr:row>
          <xdr:rowOff>88900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new 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2</xdr:row>
          <xdr:rowOff>12700</xdr:rowOff>
        </xdr:from>
        <xdr:to>
          <xdr:col>2</xdr:col>
          <xdr:colOff>2311400</xdr:colOff>
          <xdr:row>3</xdr:row>
          <xdr:rowOff>88900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filters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1</xdr:col>
          <xdr:colOff>2298700</xdr:colOff>
          <xdr:row>3</xdr:row>
          <xdr:rowOff>88900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DD58CA1-D37A-6147-D69E-EA11AD693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new decision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2374900</xdr:colOff>
          <xdr:row>2</xdr:row>
          <xdr:rowOff>12700</xdr:rowOff>
        </xdr:from>
        <xdr:to>
          <xdr:col>2</xdr:col>
          <xdr:colOff>25400</xdr:colOff>
          <xdr:row>3</xdr:row>
          <xdr:rowOff>88900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7727636C-5777-ACE8-1307-1A7683319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filters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1</xdr:col>
          <xdr:colOff>2298700</xdr:colOff>
          <xdr:row>3</xdr:row>
          <xdr:rowOff>88900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582B3967-EA61-B6F5-F0B6-2650DA54D2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new risk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2374900</xdr:colOff>
          <xdr:row>2</xdr:row>
          <xdr:rowOff>12700</xdr:rowOff>
        </xdr:from>
        <xdr:to>
          <xdr:col>2</xdr:col>
          <xdr:colOff>25400</xdr:colOff>
          <xdr:row>3</xdr:row>
          <xdr:rowOff>88900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227CE60E-F791-20F2-BDC4-3A62A2FE0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filters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2</xdr:col>
          <xdr:colOff>330200</xdr:colOff>
          <xdr:row>3</xdr:row>
          <xdr:rowOff>88900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B7534A86-3C52-1B72-A365-472D1791F7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new stakeholder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406400</xdr:colOff>
          <xdr:row>2</xdr:row>
          <xdr:rowOff>12700</xdr:rowOff>
        </xdr:from>
        <xdr:to>
          <xdr:col>3</xdr:col>
          <xdr:colOff>723900</xdr:colOff>
          <xdr:row>3</xdr:row>
          <xdr:rowOff>88900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49D3C255-51A5-BC25-E8B1-CDDE94AB43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filters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5F95FA-DE69-FF41-804E-EB449E38C627}" name="Table_ActionLog" displayName="Table_ActionLog" ref="A10:L12" totalsRowShown="0">
  <autoFilter ref="A10:L12" xr:uid="{E35F95FA-DE69-FF41-804E-EB449E38C627}"/>
  <tableColumns count="12">
    <tableColumn id="1" xr3:uid="{DCAE2E3A-2F0A-834F-A8FB-88E205413668}" name="Ref" dataDxfId="22"/>
    <tableColumn id="2" xr3:uid="{0BC0A2C4-516C-5E43-9F83-DA6BCBEE512F}" name="Topic" dataDxfId="21"/>
    <tableColumn id="3" xr3:uid="{FDB3CB73-2EB1-7948-84A8-045C0101FBF9}" name="Action" dataDxfId="20"/>
    <tableColumn id="4" xr3:uid="{AAC625B8-17BE-7E4D-9A9C-1210367128A6}" name="Date added" dataDxfId="19"/>
    <tableColumn id="5" xr3:uid="{D86DFD41-D765-5B47-856D-51CDEE6D35FC}" name="Initiated by" dataDxfId="18"/>
    <tableColumn id="6" xr3:uid="{7B0763D6-FD98-DE4C-A706-B33E3CB9B48A}" name="Status"/>
    <tableColumn id="7" xr3:uid="{D74457C6-BC86-E34D-8068-E94A9DE81FFB}" name="Assigned to" dataDxfId="17"/>
    <tableColumn id="8" xr3:uid="{01A13D84-2615-CA4D-AF99-24CB91444028}" name="Deadline" dataDxfId="16"/>
    <tableColumn id="9" xr3:uid="{D3B13903-2B11-4742-80D9-4E719921D9E7}" name="Priority"/>
    <tableColumn id="10" xr3:uid="{23A17696-4C00-1F42-A83D-274DDF6B326F}" name="Dependencies" dataDxfId="15"/>
    <tableColumn id="11" xr3:uid="{E40E6D78-90DF-8348-BA6C-7CAC285A1F2A}" name="References" dataDxfId="14"/>
    <tableColumn id="12" xr3:uid="{366AE30F-6C76-EF46-BF6C-9230B9AC2FCA}" name="Comment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7A55B8-2420-B54F-81AA-69C22B440E5E}" name="Table_DecisionLog" displayName="Table_DecisionLog" ref="A10:F12" totalsRowShown="0">
  <autoFilter ref="A10:F12" xr:uid="{397A55B8-2420-B54F-81AA-69C22B440E5E}"/>
  <tableColumns count="6">
    <tableColumn id="1" xr3:uid="{84D23407-024A-8A48-90C7-C0992D8C7A69}" name="Ref" dataDxfId="12"/>
    <tableColumn id="2" xr3:uid="{7B268185-0AF2-4E49-BA2F-A5138032F917}" name="Decision" dataDxfId="11"/>
    <tableColumn id="3" xr3:uid="{F18D331E-19E4-B74A-88D0-27FDA403E522}" name="Taken by" dataDxfId="10"/>
    <tableColumn id="4" xr3:uid="{F432B1ED-CF3B-914D-8E10-60C926EBD983}" name="Taken on" dataDxfId="9"/>
    <tableColumn id="5" xr3:uid="{0DBC8078-7115-E54E-9BD5-C0D73AF8A0F4}" name="References" dataDxfId="8"/>
    <tableColumn id="6" xr3:uid="{2728F61F-E4B9-7B4D-B709-70805A29CF2A}" name="Comments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9B0E89A-D4A8-2144-9050-8F26B31D3DA5}" name="Table_RiskRegister" displayName="Table_RiskRegister" ref="A10:K13" totalsRowShown="0">
  <autoFilter ref="A10:K13" xr:uid="{D9B0E89A-D4A8-2144-9050-8F26B31D3DA5}"/>
  <tableColumns count="11">
    <tableColumn id="1" xr3:uid="{E141F0B2-B999-2A49-8E4D-D3BA51DC0108}" name="Ref"/>
    <tableColumn id="2" xr3:uid="{BBDBB364-C7BD-9245-AA30-40FD00D9ED83}" name="Risk description"/>
    <tableColumn id="3" xr3:uid="{CDE3D264-AB7C-AB47-A405-038686A5F09A}" name="Identified on" dataDxfId="6"/>
    <tableColumn id="4" xr3:uid="{A4AB3016-6939-8545-89C5-B99608D91B6B}" name="Probability"/>
    <tableColumn id="5" xr3:uid="{BCA2491B-E821-9940-9637-7DB9FB5CA874}" name="Impact"/>
    <tableColumn id="6" xr3:uid="{960BCDCA-5B0C-5C49-B415-ACE45B7D1062}" name="Risk">
      <calculatedColumnFormula>IF(AND(D11="High",E11="High"),"High",IF(AND(D11="High",E11="Medium"),"High",IF(AND(D11="Medium",E11="High"),"High",IF(AND(D11="Medium",E11="Medium"),"Medium",IF(AND(D11="Medium",E11="Low"),"Medium",IF(AND(D11="Low",E11="Medium"),"Medium",IF(AND(D11="Low",E11="Low"),"Low",IF(AND(D11="High",E11="Low"),"Medium",IF(AND(D11="Low",E11="High"),"Medium")))))))))</calculatedColumnFormula>
    </tableColumn>
    <tableColumn id="7" xr3:uid="{458B8F6A-F172-C44E-9624-A15E1BFB59C2}" name="Owner"/>
    <tableColumn id="8" xr3:uid="{1F8DA03B-9387-524C-BB52-F5F0AA7C539F}" name="Status"/>
    <tableColumn id="9" xr3:uid="{8DB48482-5E12-A040-9121-A8C9CE64F84D}" name="Mitigation"/>
    <tableColumn id="10" xr3:uid="{0C351D14-E984-3047-9C8B-94EA77273ADF}" name="References"/>
    <tableColumn id="11" xr3:uid="{16EA7289-4591-464A-A7A0-806A40510278}" name="Comment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F6D01-0401-D549-8A3C-0D35BF2D1517}" name="Table_StakeholderRegister" displayName="Table_StakeholderRegister" ref="A10:K12" totalsRowShown="0">
  <autoFilter ref="A10:K12" xr:uid="{ED8F6D01-0401-D549-8A3C-0D35BF2D1517}"/>
  <tableColumns count="11">
    <tableColumn id="1" xr3:uid="{41D19439-7DD4-424D-A63F-4E3EFCCDB96D}" name="Ref"/>
    <tableColumn id="2" xr3:uid="{1D10FDB5-C21B-4640-83EE-C481AF8E99B3}" name="First name"/>
    <tableColumn id="3" xr3:uid="{E9E35715-488E-7D49-A00B-B6CD4102891B}" name="Last name"/>
    <tableColumn id="4" xr3:uid="{F104EB7E-6FFD-1F43-BACA-D7DE5F7C4C88}" name="Department"/>
    <tableColumn id="5" xr3:uid="{F6FD6706-95A8-EF4E-8626-C5E777F6991B}" name="Job title"/>
    <tableColumn id="6" xr3:uid="{9EA249D1-F813-AA4C-BA72-6E4B2C42D108}" name="Project role"/>
    <tableColumn id="7" xr3:uid="{DB96C9ED-1161-BE40-8268-7A350333629F}" name="Influence"/>
    <tableColumn id="8" xr3:uid="{424E55AF-967C-574F-AD20-0B6CE513C085}" name="Interest"/>
    <tableColumn id="9" xr3:uid="{2E42D7B6-047B-BA42-A6CF-0A8F79D39706}" name="Phone"/>
    <tableColumn id="10" xr3:uid="{A3C26415-C9D8-C745-9A68-E307D3B5EDA2}" name="Email"/>
    <tableColumn id="11" xr3:uid="{7368A2C7-2422-4D4C-ADA9-D7EB3766F27D}" name="Notes and 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table" Target="../tables/table4.xml"/><Relationship Id="rId2" Type="http://schemas.openxmlformats.org/officeDocument/2006/relationships/hyperlink" Target="mailto:name2@company.com" TargetMode="External"/><Relationship Id="rId1" Type="http://schemas.openxmlformats.org/officeDocument/2006/relationships/hyperlink" Target="mailto:name@company.com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EDE5-44F8-8C49-AA37-60EBD6BB9F3C}">
  <sheetPr codeName="Blad4"/>
  <dimension ref="A1:H15"/>
  <sheetViews>
    <sheetView tabSelected="1" workbookViewId="0">
      <selection activeCell="E19" sqref="E19"/>
    </sheetView>
  </sheetViews>
  <sheetFormatPr baseColWidth="10" defaultRowHeight="16" x14ac:dyDescent="0.2"/>
  <cols>
    <col min="1" max="1" width="33.83203125" bestFit="1" customWidth="1"/>
    <col min="2" max="2" width="21.83203125" customWidth="1"/>
    <col min="8" max="8" width="28.33203125" customWidth="1"/>
  </cols>
  <sheetData>
    <row r="1" spans="1:8" s="1" customFormat="1" x14ac:dyDescent="0.2">
      <c r="A1" s="2" t="str">
        <f>_xlfn.TEXTJOIN(" - ",TRUE,"Project overview",'Project settings'!B3)</f>
        <v>Project overview - Name of the project</v>
      </c>
    </row>
    <row r="3" spans="1:8" x14ac:dyDescent="0.2">
      <c r="A3" s="10" t="s">
        <v>24</v>
      </c>
      <c r="B3" s="10"/>
      <c r="H3" s="17" t="s">
        <v>80</v>
      </c>
    </row>
    <row r="4" spans="1:8" x14ac:dyDescent="0.2">
      <c r="A4" s="8" t="s">
        <v>15</v>
      </c>
      <c r="B4" s="9">
        <f>COUNTIF(Table_ActionLog[Status],"Open")</f>
        <v>2</v>
      </c>
      <c r="H4" s="16" t="s">
        <v>76</v>
      </c>
    </row>
    <row r="5" spans="1:8" x14ac:dyDescent="0.2">
      <c r="A5" s="8" t="s">
        <v>26</v>
      </c>
      <c r="B5" s="9">
        <f>COUNTIF(Table_ActionLog[Status],"Ongoing")</f>
        <v>0</v>
      </c>
      <c r="H5" s="16" t="s">
        <v>77</v>
      </c>
    </row>
    <row r="6" spans="1:8" x14ac:dyDescent="0.2">
      <c r="A6" s="8" t="s">
        <v>25</v>
      </c>
      <c r="B6" s="9">
        <f ca="1">COUNTIFS(Table_ActionLog[Status],"=Open",Table_ActionLog[Deadline],"&lt;"&amp;TODAY())+COUNTIFS(Table_ActionLog[Status],"=Ongoing",Table_ActionLog[Deadline],"&lt;"&amp;TODAY())</f>
        <v>1</v>
      </c>
      <c r="H6" s="16" t="s">
        <v>78</v>
      </c>
    </row>
    <row r="7" spans="1:8" x14ac:dyDescent="0.2">
      <c r="H7" s="16" t="s">
        <v>79</v>
      </c>
    </row>
    <row r="8" spans="1:8" x14ac:dyDescent="0.2">
      <c r="A8" s="10" t="s">
        <v>52</v>
      </c>
      <c r="B8" s="10"/>
      <c r="H8" s="16"/>
    </row>
    <row r="9" spans="1:8" x14ac:dyDescent="0.2">
      <c r="A9" s="8" t="s">
        <v>15</v>
      </c>
      <c r="B9" s="9">
        <f>COUNTIF(Table_RiskRegister[Status],"Open")</f>
        <v>3</v>
      </c>
      <c r="H9" s="16" t="s">
        <v>23</v>
      </c>
    </row>
    <row r="10" spans="1:8" x14ac:dyDescent="0.2">
      <c r="A10" s="8" t="s">
        <v>45</v>
      </c>
      <c r="B10" s="9">
        <f>COUNTIFS(Table_RiskRegister[Status],"Open",Table_RiskRegister[Risk],"High")</f>
        <v>1</v>
      </c>
      <c r="H10" s="14"/>
    </row>
    <row r="11" spans="1:8" x14ac:dyDescent="0.2">
      <c r="A11" s="8" t="s">
        <v>46</v>
      </c>
      <c r="B11" s="9">
        <f>COUNTIFS(Table_RiskRegister[Status],"Open",Table_RiskRegister[Risk],"Medium")</f>
        <v>2</v>
      </c>
    </row>
    <row r="12" spans="1:8" x14ac:dyDescent="0.2">
      <c r="A12" s="8" t="s">
        <v>14</v>
      </c>
      <c r="B12" s="9">
        <f>COUNTIFS(Table_RiskRegister[Status],"Open",Table_RiskRegister[Risk],"Low")</f>
        <v>0</v>
      </c>
    </row>
    <row r="14" spans="1:8" x14ac:dyDescent="0.2">
      <c r="A14" s="10" t="s">
        <v>75</v>
      </c>
      <c r="B14" s="10"/>
    </row>
    <row r="15" spans="1:8" x14ac:dyDescent="0.2">
      <c r="A15" s="8" t="s">
        <v>74</v>
      </c>
      <c r="B15" s="9">
        <f>ROWS(Table_StakeholderRegister[])</f>
        <v>2</v>
      </c>
    </row>
  </sheetData>
  <mergeCells count="3">
    <mergeCell ref="A3:B3"/>
    <mergeCell ref="A8:B8"/>
    <mergeCell ref="A14:B14"/>
  </mergeCells>
  <conditionalFormatting sqref="B6">
    <cfRule type="expression" dxfId="5" priority="2">
      <formula>B6&gt;0</formula>
    </cfRule>
  </conditionalFormatting>
  <conditionalFormatting sqref="B10">
    <cfRule type="expression" dxfId="4" priority="1">
      <formula>B10&gt;0</formula>
    </cfRule>
  </conditionalFormatting>
  <hyperlinks>
    <hyperlink ref="H4" location="'Action log'!A1" display="Action log" xr:uid="{A1A53729-2C7F-674F-BF81-F2E800DBA02E}"/>
    <hyperlink ref="H5" location="'Decision log'!A1" display="Decision log" xr:uid="{24819DD4-D617-1743-8756-299A8988F346}"/>
    <hyperlink ref="H6" location="'Risk register'!A1" display="Risk register" xr:uid="{41609741-69B6-6846-9676-D1FEA14D44A2}"/>
    <hyperlink ref="H7" location="'Stakeholder register'!A1" display="Stakeholder register" xr:uid="{CF8D4C2F-74E8-9545-AD0F-ABE7996C503C}"/>
    <hyperlink ref="H9" location="'Project settings'!A1" display="Project settings" xr:uid="{2F4B7203-4DCD-1D4E-A8B9-C2D151A90AAF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F84CF-35D7-8646-958F-FA7A6E145927}">
  <sheetPr codeName="Blad2"/>
  <dimension ref="A1:L12"/>
  <sheetViews>
    <sheetView workbookViewId="0">
      <selection activeCell="E1" sqref="E1"/>
    </sheetView>
  </sheetViews>
  <sheetFormatPr baseColWidth="10" defaultRowHeight="16" x14ac:dyDescent="0.2"/>
  <cols>
    <col min="1" max="1" width="6.83203125" customWidth="1"/>
    <col min="2" max="2" width="30.83203125" customWidth="1"/>
    <col min="3" max="3" width="60.83203125" customWidth="1"/>
    <col min="4" max="4" width="12.83203125" customWidth="1"/>
    <col min="5" max="5" width="30.83203125" customWidth="1"/>
    <col min="6" max="6" width="15.83203125" customWidth="1"/>
    <col min="7" max="7" width="30.83203125" customWidth="1"/>
    <col min="8" max="8" width="12.83203125" customWidth="1"/>
    <col min="9" max="9" width="15.83203125" customWidth="1"/>
    <col min="10" max="11" width="25.83203125" customWidth="1"/>
    <col min="12" max="12" width="60.83203125" customWidth="1"/>
  </cols>
  <sheetData>
    <row r="1" spans="1:12" s="1" customFormat="1" x14ac:dyDescent="0.2">
      <c r="A1" s="2" t="str">
        <f>_xlfn.TEXTJOIN(" - ",TRUE,"Action log",'Project settings'!B3)</f>
        <v>Action log - Name of the project</v>
      </c>
      <c r="E1" s="15" t="s">
        <v>81</v>
      </c>
    </row>
    <row r="6" spans="1:12" ht="40" customHeight="1" x14ac:dyDescent="0.2">
      <c r="B6" s="11" t="s">
        <v>27</v>
      </c>
      <c r="C6" s="11"/>
    </row>
    <row r="10" spans="1:12" x14ac:dyDescent="0.2">
      <c r="A10" t="s">
        <v>22</v>
      </c>
      <c r="B10" t="s">
        <v>3</v>
      </c>
      <c r="C10" t="s">
        <v>4</v>
      </c>
      <c r="D10" t="s">
        <v>5</v>
      </c>
      <c r="E10" t="s">
        <v>6</v>
      </c>
      <c r="F10" t="s">
        <v>7</v>
      </c>
      <c r="G10" t="s">
        <v>8</v>
      </c>
      <c r="H10" t="s">
        <v>9</v>
      </c>
      <c r="I10" t="s">
        <v>10</v>
      </c>
      <c r="J10" t="s">
        <v>11</v>
      </c>
      <c r="K10" t="s">
        <v>12</v>
      </c>
      <c r="L10" t="s">
        <v>13</v>
      </c>
    </row>
    <row r="11" spans="1:12" ht="17" x14ac:dyDescent="0.2">
      <c r="A11" s="5" t="s">
        <v>17</v>
      </c>
      <c r="B11" s="5" t="s">
        <v>16</v>
      </c>
      <c r="C11" s="7" t="s">
        <v>18</v>
      </c>
      <c r="D11" s="6">
        <v>45292</v>
      </c>
      <c r="E11" s="5" t="s">
        <v>19</v>
      </c>
      <c r="F11" t="s">
        <v>15</v>
      </c>
      <c r="G11" s="5" t="s">
        <v>19</v>
      </c>
      <c r="H11" s="6">
        <v>45292</v>
      </c>
      <c r="I11" t="s">
        <v>14</v>
      </c>
      <c r="J11" s="5"/>
      <c r="K11" s="5"/>
      <c r="L11" s="7"/>
    </row>
    <row r="12" spans="1:12" ht="17" x14ac:dyDescent="0.2">
      <c r="A12" s="5" t="s">
        <v>20</v>
      </c>
      <c r="B12" s="5" t="s">
        <v>16</v>
      </c>
      <c r="C12" s="7" t="s">
        <v>21</v>
      </c>
      <c r="D12" s="6">
        <v>45292</v>
      </c>
      <c r="E12" s="5" t="s">
        <v>19</v>
      </c>
      <c r="F12" t="s">
        <v>15</v>
      </c>
      <c r="G12" s="5" t="s">
        <v>19</v>
      </c>
      <c r="H12" s="6">
        <v>45323</v>
      </c>
      <c r="I12" t="s">
        <v>14</v>
      </c>
      <c r="J12" s="5" t="s">
        <v>17</v>
      </c>
      <c r="K12" s="5"/>
      <c r="L12" s="7"/>
    </row>
  </sheetData>
  <mergeCells count="1">
    <mergeCell ref="B6:C6"/>
  </mergeCells>
  <conditionalFormatting sqref="I11:I12">
    <cfRule type="containsText" dxfId="3" priority="2" operator="containsText" text="High">
      <formula>NOT(ISERROR(SEARCH("High",I11)))</formula>
    </cfRule>
  </conditionalFormatting>
  <conditionalFormatting sqref="A11:L12">
    <cfRule type="expression" dxfId="2" priority="1">
      <formula>OR(AND($H11&lt;TODAY(),$F11="Open"),AND($H11&lt;TODAY(),$F11="Ongoing"))</formula>
    </cfRule>
  </conditionalFormatting>
  <dataValidations disablePrompts="1" count="2">
    <dataValidation type="list" allowBlank="1" showInputMessage="1" showErrorMessage="1" sqref="I11:I12" xr:uid="{95C4B411-961F-F748-9FDD-C1DAFB07A117}">
      <formula1>"Low,Medium,High"</formula1>
    </dataValidation>
    <dataValidation type="list" allowBlank="1" showInputMessage="1" showErrorMessage="1" sqref="F11:F12" xr:uid="{EA9F22A8-AB00-2C4C-A013-49244FD79DA2}">
      <formula1>"Open,Ongoing,Completed,Canceled"</formula1>
    </dataValidation>
  </dataValidations>
  <hyperlinks>
    <hyperlink ref="E1" location="Overview!A1" display="&lt;&lt;&lt; BACK TO OVERVIEW" xr:uid="{8A09F008-EA77-DC41-BB00-1E2ED47988F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3" name="Button 10">
              <controlPr defaultSize="0" print="0" autoFill="0" autoPict="0" macro="[0]!Blad2.Action_New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1</xdr:col>
                    <xdr:colOff>2298700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4" name="Button 26">
              <controlPr defaultSize="0" print="0" autoFill="0" autoPict="0" macro="[0]!ThisWorkbook.ClearFilters">
                <anchor moveWithCells="1" sizeWithCells="1">
                  <from>
                    <xdr:col>2</xdr:col>
                    <xdr:colOff>25400</xdr:colOff>
                    <xdr:row>2</xdr:row>
                    <xdr:rowOff>12700</xdr:rowOff>
                  </from>
                  <to>
                    <xdr:col>2</xdr:col>
                    <xdr:colOff>2311400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5A8D2-9C8B-184C-94F1-F9D699965787}">
  <sheetPr codeName="Blad3"/>
  <dimension ref="A1:F12"/>
  <sheetViews>
    <sheetView workbookViewId="0">
      <selection activeCell="E1" sqref="E1"/>
    </sheetView>
  </sheetViews>
  <sheetFormatPr baseColWidth="10" defaultRowHeight="16" x14ac:dyDescent="0.2"/>
  <cols>
    <col min="1" max="1" width="6.83203125" customWidth="1"/>
    <col min="2" max="2" width="60.83203125" customWidth="1"/>
    <col min="3" max="3" width="30.83203125" customWidth="1"/>
    <col min="4" max="4" width="12.83203125" customWidth="1"/>
    <col min="5" max="5" width="25.83203125" customWidth="1"/>
    <col min="6" max="6" width="60.83203125" customWidth="1"/>
  </cols>
  <sheetData>
    <row r="1" spans="1:6" s="1" customFormat="1" x14ac:dyDescent="0.2">
      <c r="A1" s="2" t="str">
        <f>_xlfn.TEXTJOIN(" - ",TRUE,"Decision log",'Project settings'!B3)</f>
        <v>Decision log - Name of the project</v>
      </c>
      <c r="E1" s="15" t="s">
        <v>81</v>
      </c>
    </row>
    <row r="6" spans="1:6" ht="35" customHeight="1" x14ac:dyDescent="0.2">
      <c r="B6" s="11" t="s">
        <v>48</v>
      </c>
      <c r="C6" s="11"/>
    </row>
    <row r="10" spans="1:6" x14ac:dyDescent="0.2">
      <c r="A10" t="s">
        <v>22</v>
      </c>
      <c r="B10" t="s">
        <v>28</v>
      </c>
      <c r="C10" t="s">
        <v>29</v>
      </c>
      <c r="D10" t="s">
        <v>30</v>
      </c>
      <c r="E10" t="s">
        <v>12</v>
      </c>
      <c r="F10" t="s">
        <v>13</v>
      </c>
    </row>
    <row r="11" spans="1:6" x14ac:dyDescent="0.2">
      <c r="A11" s="5" t="s">
        <v>31</v>
      </c>
      <c r="B11" s="5" t="s">
        <v>33</v>
      </c>
      <c r="C11" s="5" t="s">
        <v>19</v>
      </c>
      <c r="D11" s="6">
        <v>45292</v>
      </c>
      <c r="E11" s="5"/>
      <c r="F11" s="5"/>
    </row>
    <row r="12" spans="1:6" x14ac:dyDescent="0.2">
      <c r="A12" s="5" t="s">
        <v>32</v>
      </c>
      <c r="B12" s="5" t="s">
        <v>34</v>
      </c>
      <c r="C12" s="5" t="s">
        <v>19</v>
      </c>
      <c r="D12" s="6">
        <v>45292</v>
      </c>
      <c r="E12" s="5"/>
      <c r="F12" s="5"/>
    </row>
  </sheetData>
  <mergeCells count="1">
    <mergeCell ref="B6:C6"/>
  </mergeCells>
  <hyperlinks>
    <hyperlink ref="E1" location="Overview!A1" display="&lt;&lt;&lt; BACK TO OVERVIEW" xr:uid="{98CB43CD-F31A-2142-99CB-BB0148BE31D0}"/>
  </hyperlink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Blad3.Decision_New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1</xdr:col>
                    <xdr:colOff>2298700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ThisWorkbook.ClearFilters">
                <anchor moveWithCells="1" sizeWithCells="1">
                  <from>
                    <xdr:col>1</xdr:col>
                    <xdr:colOff>2374900</xdr:colOff>
                    <xdr:row>2</xdr:row>
                    <xdr:rowOff>12700</xdr:rowOff>
                  </from>
                  <to>
                    <xdr:col>2</xdr:col>
                    <xdr:colOff>25400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9CFE3-3E72-D748-AFEA-F1A131D584A7}">
  <sheetPr codeName="Blad5"/>
  <dimension ref="A1:K13"/>
  <sheetViews>
    <sheetView workbookViewId="0">
      <selection activeCell="E1" sqref="E1"/>
    </sheetView>
  </sheetViews>
  <sheetFormatPr baseColWidth="10" defaultRowHeight="16" x14ac:dyDescent="0.2"/>
  <cols>
    <col min="1" max="1" width="6.83203125" customWidth="1"/>
    <col min="2" max="2" width="60.83203125" customWidth="1"/>
    <col min="3" max="3" width="13.83203125" customWidth="1"/>
    <col min="4" max="6" width="15.83203125" customWidth="1"/>
    <col min="7" max="7" width="30.83203125" customWidth="1"/>
    <col min="8" max="8" width="15.83203125" customWidth="1"/>
    <col min="9" max="9" width="60.83203125" customWidth="1"/>
    <col min="10" max="10" width="30.83203125" customWidth="1"/>
    <col min="11" max="11" width="60.83203125" customWidth="1"/>
  </cols>
  <sheetData>
    <row r="1" spans="1:11" s="1" customFormat="1" x14ac:dyDescent="0.2">
      <c r="A1" s="2" t="str">
        <f>_xlfn.TEXTJOIN(" - ",TRUE,"Risk register",'Project settings'!B3)</f>
        <v>Risk register - Name of the project</v>
      </c>
      <c r="E1" s="15" t="s">
        <v>81</v>
      </c>
    </row>
    <row r="6" spans="1:11" ht="37" customHeight="1" x14ac:dyDescent="0.2">
      <c r="B6" s="11" t="s">
        <v>47</v>
      </c>
      <c r="C6" s="11"/>
    </row>
    <row r="10" spans="1:11" x14ac:dyDescent="0.2">
      <c r="A10" t="s">
        <v>22</v>
      </c>
      <c r="B10" t="s">
        <v>49</v>
      </c>
      <c r="C10" t="s">
        <v>36</v>
      </c>
      <c r="D10" t="s">
        <v>37</v>
      </c>
      <c r="E10" t="s">
        <v>38</v>
      </c>
      <c r="F10" t="s">
        <v>35</v>
      </c>
      <c r="G10" t="s">
        <v>39</v>
      </c>
      <c r="H10" t="s">
        <v>7</v>
      </c>
      <c r="I10" t="s">
        <v>40</v>
      </c>
      <c r="J10" t="s">
        <v>12</v>
      </c>
      <c r="K10" t="s">
        <v>13</v>
      </c>
    </row>
    <row r="11" spans="1:11" x14ac:dyDescent="0.2">
      <c r="A11" t="s">
        <v>41</v>
      </c>
      <c r="B11" t="s">
        <v>43</v>
      </c>
      <c r="C11" s="6">
        <v>45292</v>
      </c>
      <c r="D11" t="s">
        <v>45</v>
      </c>
      <c r="E11" t="s">
        <v>14</v>
      </c>
      <c r="F11" t="str">
        <f>IF(AND(D11="High",E11="High"),"High",IF(AND(D11="High",E11="Medium"),"High",IF(AND(D11="Medium",E11="High"),"High",IF(AND(D11="Medium",E11="Medium"),"Medium",IF(AND(D11="Medium",E11="Low"),"Medium",IF(AND(D11="Low",E11="Medium"),"Medium",IF(AND(D11="Low",E11="Low"),"Low",IF(AND(D11="High",E11="Low"),"Medium",IF(AND(D11="Low",E11="High"),"Medium")))))))))</f>
        <v>Medium</v>
      </c>
      <c r="G11" t="s">
        <v>19</v>
      </c>
      <c r="H11" t="s">
        <v>15</v>
      </c>
      <c r="I11" t="s">
        <v>40</v>
      </c>
    </row>
    <row r="12" spans="1:11" x14ac:dyDescent="0.2">
      <c r="A12" t="s">
        <v>42</v>
      </c>
      <c r="B12" t="s">
        <v>44</v>
      </c>
      <c r="C12" s="6">
        <v>45307</v>
      </c>
      <c r="D12" t="s">
        <v>45</v>
      </c>
      <c r="E12" t="s">
        <v>46</v>
      </c>
      <c r="F12" t="str">
        <f>IF(AND(D12="High",E12="High"),"High",IF(AND(D12="High",E12="Medium"),"High",IF(AND(D12="Medium",E12="High"),"High",IF(AND(D12="Medium",E12="Medium"),"Medium",IF(AND(D12="Medium",E12="Low"),"Medium",IF(AND(D12="Low",E12="Medium"),"Medium",IF(AND(D12="Low",E12="Low"),"Low",IF(AND(D12="High",E12="Low"),"Medium",IF(AND(D12="Low",E12="High"),"Medium")))))))))</f>
        <v>High</v>
      </c>
      <c r="G12" t="s">
        <v>19</v>
      </c>
      <c r="H12" t="s">
        <v>15</v>
      </c>
      <c r="I12" t="s">
        <v>40</v>
      </c>
    </row>
    <row r="13" spans="1:11" x14ac:dyDescent="0.2">
      <c r="A13" t="s">
        <v>50</v>
      </c>
      <c r="B13" t="s">
        <v>51</v>
      </c>
      <c r="C13" s="6">
        <v>45307</v>
      </c>
      <c r="D13" t="s">
        <v>46</v>
      </c>
      <c r="E13" t="s">
        <v>46</v>
      </c>
      <c r="F13" t="str">
        <f>IF(AND(D13="High",E13="High"),"High",IF(AND(D13="High",E13="Medium"),"High",IF(AND(D13="Medium",E13="High"),"High",IF(AND(D13="Medium",E13="Medium"),"Medium",IF(AND(D13="Medium",E13="Low"),"Medium",IF(AND(D13="Low",E13="Medium"),"Medium",IF(AND(D13="Low",E13="Low"),"Low",IF(AND(D13="High",E13="Low"),"Medium",IF(AND(D13="Low",E13="High"),"Medium")))))))))</f>
        <v>Medium</v>
      </c>
      <c r="G13" t="s">
        <v>19</v>
      </c>
      <c r="H13" t="s">
        <v>15</v>
      </c>
      <c r="I13" t="s">
        <v>40</v>
      </c>
    </row>
  </sheetData>
  <mergeCells count="1">
    <mergeCell ref="B6:C6"/>
  </mergeCells>
  <conditionalFormatting sqref="L14:XFD14">
    <cfRule type="expression" dxfId="1" priority="4">
      <formula>#REF!="High"</formula>
    </cfRule>
  </conditionalFormatting>
  <conditionalFormatting sqref="A11:K13">
    <cfRule type="expression" dxfId="0" priority="1">
      <formula>$F11="High"</formula>
    </cfRule>
  </conditionalFormatting>
  <dataValidations count="2">
    <dataValidation type="list" allowBlank="1" showInputMessage="1" showErrorMessage="1" sqref="D11:E13" xr:uid="{8AA70760-7AE3-3A43-8FA2-030EF3820222}">
      <formula1>"High,Medium,Low"</formula1>
    </dataValidation>
    <dataValidation type="list" allowBlank="1" showInputMessage="1" showErrorMessage="1" sqref="H11:H13" xr:uid="{91145803-5E5D-A740-92AF-D32528D093C1}">
      <formula1>"Open,Closed"</formula1>
    </dataValidation>
  </dataValidations>
  <hyperlinks>
    <hyperlink ref="E1" location="Overview!A1" display="&lt;&lt;&lt; BACK TO OVERVIEW" xr:uid="{E9F48339-F2AA-9B4C-B086-E293AAA614F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print="0" autoFill="0" autoPict="0" macro="[0]!Blad5.Risk_New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1</xdr:col>
                    <xdr:colOff>2298700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ThisWorkbook.ClearFilters">
                <anchor moveWithCells="1" sizeWithCells="1">
                  <from>
                    <xdr:col>1</xdr:col>
                    <xdr:colOff>2374900</xdr:colOff>
                    <xdr:row>2</xdr:row>
                    <xdr:rowOff>12700</xdr:rowOff>
                  </from>
                  <to>
                    <xdr:col>2</xdr:col>
                    <xdr:colOff>25400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56E12-7B1D-1047-9786-FC9FBFBE1649}">
  <sheetPr codeName="Blad6"/>
  <dimension ref="A1:K12"/>
  <sheetViews>
    <sheetView workbookViewId="0">
      <selection activeCell="E1" sqref="E1"/>
    </sheetView>
  </sheetViews>
  <sheetFormatPr baseColWidth="10" defaultRowHeight="16" x14ac:dyDescent="0.2"/>
  <cols>
    <col min="1" max="1" width="6.83203125" customWidth="1"/>
    <col min="2" max="4" width="25.83203125" customWidth="1"/>
    <col min="5" max="6" width="30.83203125" customWidth="1"/>
    <col min="7" max="8" width="15.83203125" customWidth="1"/>
    <col min="9" max="9" width="20.83203125" customWidth="1"/>
    <col min="10" max="10" width="30.83203125" customWidth="1"/>
    <col min="11" max="11" width="60.83203125" customWidth="1"/>
  </cols>
  <sheetData>
    <row r="1" spans="1:11" s="1" customFormat="1" x14ac:dyDescent="0.2">
      <c r="A1" s="2" t="str">
        <f>_xlfn.TEXTJOIN(" - ",TRUE,"Stakeholder register",'Project settings'!B3)</f>
        <v>Stakeholder register - Name of the project</v>
      </c>
      <c r="E1" s="15" t="s">
        <v>81</v>
      </c>
    </row>
    <row r="6" spans="1:11" ht="35" customHeight="1" x14ac:dyDescent="0.2">
      <c r="B6" s="11" t="s">
        <v>73</v>
      </c>
      <c r="C6" s="11"/>
    </row>
    <row r="10" spans="1:11" x14ac:dyDescent="0.2">
      <c r="A10" t="s">
        <v>22</v>
      </c>
      <c r="B10" t="s">
        <v>53</v>
      </c>
      <c r="C10" t="s">
        <v>54</v>
      </c>
      <c r="D10" t="s">
        <v>55</v>
      </c>
      <c r="E10" t="s">
        <v>56</v>
      </c>
      <c r="F10" t="s">
        <v>57</v>
      </c>
      <c r="G10" t="s">
        <v>60</v>
      </c>
      <c r="H10" t="s">
        <v>61</v>
      </c>
      <c r="I10" t="s">
        <v>58</v>
      </c>
      <c r="J10" t="s">
        <v>59</v>
      </c>
      <c r="K10" t="s">
        <v>62</v>
      </c>
    </row>
    <row r="11" spans="1:11" x14ac:dyDescent="0.2">
      <c r="A11" s="5" t="s">
        <v>63</v>
      </c>
      <c r="B11" s="5" t="s">
        <v>65</v>
      </c>
      <c r="C11" s="5" t="s">
        <v>67</v>
      </c>
      <c r="D11" s="5" t="s">
        <v>55</v>
      </c>
      <c r="E11" s="5" t="s">
        <v>56</v>
      </c>
      <c r="F11" s="5" t="s">
        <v>68</v>
      </c>
      <c r="G11" s="5" t="s">
        <v>45</v>
      </c>
      <c r="H11" s="5" t="s">
        <v>45</v>
      </c>
      <c r="I11" s="5" t="s">
        <v>70</v>
      </c>
      <c r="J11" s="12" t="s">
        <v>71</v>
      </c>
      <c r="K11" s="7"/>
    </row>
    <row r="12" spans="1:11" x14ac:dyDescent="0.2">
      <c r="A12" t="s">
        <v>64</v>
      </c>
      <c r="B12" t="s">
        <v>66</v>
      </c>
      <c r="C12" t="s">
        <v>67</v>
      </c>
      <c r="D12" t="s">
        <v>55</v>
      </c>
      <c r="E12" t="s">
        <v>56</v>
      </c>
      <c r="F12" t="s">
        <v>69</v>
      </c>
      <c r="G12" t="s">
        <v>45</v>
      </c>
      <c r="H12" t="s">
        <v>45</v>
      </c>
      <c r="I12" t="s">
        <v>70</v>
      </c>
      <c r="J12" s="13" t="s">
        <v>72</v>
      </c>
    </row>
  </sheetData>
  <mergeCells count="1">
    <mergeCell ref="B6:C6"/>
  </mergeCells>
  <dataValidations count="1">
    <dataValidation type="list" allowBlank="1" showInputMessage="1" showErrorMessage="1" sqref="G11:H12" xr:uid="{F20FAEE3-5BF0-C84A-80A6-97D5A2FA610B}">
      <formula1>"Low,Medium,High"</formula1>
    </dataValidation>
  </dataValidations>
  <hyperlinks>
    <hyperlink ref="J11" r:id="rId1" xr:uid="{7388A96E-1178-D34B-996A-B59039B46AE0}"/>
    <hyperlink ref="J12" r:id="rId2" xr:uid="{8A95B782-2F98-0346-A559-4CA4475E25AF}"/>
    <hyperlink ref="E1" location="Overview!A1" display="&lt;&lt;&lt; BACK TO OVERVIEW" xr:uid="{C3D34DA4-CC9D-5E4B-8D17-3413DACE150A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4" r:id="rId5" name="Button 6">
              <controlPr defaultSize="0" print="0" autoFill="0" autoPict="0" macro="[0]!Blad6.Stakeholder_New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2</xdr:col>
                    <xdr:colOff>330200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6" name="Button 7">
              <controlPr defaultSize="0" print="0" autoFill="0" autoPict="0" macro="[0]!ThisWorkbook.ClearFilters">
                <anchor moveWithCells="1" sizeWithCells="1">
                  <from>
                    <xdr:col>2</xdr:col>
                    <xdr:colOff>406400</xdr:colOff>
                    <xdr:row>2</xdr:row>
                    <xdr:rowOff>12700</xdr:rowOff>
                  </from>
                  <to>
                    <xdr:col>3</xdr:col>
                    <xdr:colOff>723900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D6C2A-0489-DF47-AF58-AB717DE515DE}">
  <sheetPr codeName="Blad1"/>
  <dimension ref="A1:E4"/>
  <sheetViews>
    <sheetView workbookViewId="0">
      <selection activeCell="E1" sqref="E1"/>
    </sheetView>
  </sheetViews>
  <sheetFormatPr baseColWidth="10" defaultRowHeight="16" x14ac:dyDescent="0.2"/>
  <cols>
    <col min="1" max="1" width="19.5" customWidth="1"/>
    <col min="2" max="2" width="46.83203125" customWidth="1"/>
  </cols>
  <sheetData>
    <row r="1" spans="1:5" s="1" customFormat="1" x14ac:dyDescent="0.2">
      <c r="A1" s="2" t="s">
        <v>23</v>
      </c>
      <c r="E1" s="15" t="s">
        <v>81</v>
      </c>
    </row>
    <row r="3" spans="1:5" x14ac:dyDescent="0.2">
      <c r="A3" s="2" t="s">
        <v>0</v>
      </c>
      <c r="B3" s="3" t="s">
        <v>1</v>
      </c>
    </row>
    <row r="4" spans="1:5" x14ac:dyDescent="0.2">
      <c r="A4" s="2" t="s">
        <v>2</v>
      </c>
      <c r="B4" s="4">
        <v>45292</v>
      </c>
    </row>
  </sheetData>
  <hyperlinks>
    <hyperlink ref="E1" location="Overview!A1" display="&lt;&lt;&lt; BACK TO OVERVIEW" xr:uid="{4A4EAE85-6E8B-3947-9ADB-E3C55E63ACE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Overview</vt:lpstr>
      <vt:lpstr>Action log</vt:lpstr>
      <vt:lpstr>Decision log</vt:lpstr>
      <vt:lpstr>Risk register</vt:lpstr>
      <vt:lpstr>Stakeholder register</vt:lpstr>
      <vt:lpstr>Project 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Roald Dijkstra</dc:creator>
  <cp:lastModifiedBy>Roald Dijkstra</cp:lastModifiedBy>
  <dcterms:created xsi:type="dcterms:W3CDTF">2024-01-16T14:00:14Z</dcterms:created>
  <dcterms:modified xsi:type="dcterms:W3CDTF">2024-01-16T19:22:52Z</dcterms:modified>
</cp:coreProperties>
</file>